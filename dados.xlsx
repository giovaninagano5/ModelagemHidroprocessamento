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lumcnpem-my.sharepoint.com/personal/giulia25027_ilum_cnpem_br/Documents/3 SEMESTRE/IP 3º semestre/código/"/>
    </mc:Choice>
  </mc:AlternateContent>
  <xr:revisionPtr revIDLastSave="6" documentId="8_{E17077F5-5275-4E3C-907E-BA59E1067C17}" xr6:coauthVersionLast="47" xr6:coauthVersionMax="47" xr10:uidLastSave="{C4341642-646D-4725-A56A-85CFA26C88AE}"/>
  <bookViews>
    <workbookView xWindow="-110" yWindow="-110" windowWidth="19420" windowHeight="11500" xr2:uid="{DE29B3DE-9307-4007-993B-487C62423776}"/>
  </bookViews>
  <sheets>
    <sheet name="dados" sheetId="1" r:id="rId1"/>
    <sheet name="Planilha2" sheetId="2" r:id="rId2"/>
    <sheet name="dadosartigo (2)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3" l="1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C3" i="3"/>
  <c r="B3" i="3"/>
  <c r="E2" i="3"/>
  <c r="D2" i="3"/>
  <c r="C2" i="3"/>
  <c r="B2" i="3"/>
</calcChain>
</file>

<file path=xl/sharedStrings.xml><?xml version="1.0" encoding="utf-8"?>
<sst xmlns="http://schemas.openxmlformats.org/spreadsheetml/2006/main" count="30" uniqueCount="29">
  <si>
    <t>x</t>
  </si>
  <si>
    <t>C23_70</t>
  </si>
  <si>
    <t>C15_22</t>
  </si>
  <si>
    <t>c10_14</t>
  </si>
  <si>
    <t>C5_9</t>
  </si>
  <si>
    <t>C1_4</t>
  </si>
  <si>
    <t>23_70 n</t>
  </si>
  <si>
    <t>23_70 isso</t>
  </si>
  <si>
    <t>15_22 n</t>
  </si>
  <si>
    <t>15_22iso</t>
  </si>
  <si>
    <t>10_14n</t>
  </si>
  <si>
    <t>10_14iso</t>
  </si>
  <si>
    <t>5_9 n</t>
  </si>
  <si>
    <t>5_9iso</t>
  </si>
  <si>
    <t>0.05</t>
  </si>
  <si>
    <t>0.100419</t>
  </si>
  <si>
    <t>0.15019</t>
  </si>
  <si>
    <t>0.20012</t>
  </si>
  <si>
    <t>0.250055</t>
  </si>
  <si>
    <t>0.300042</t>
  </si>
  <si>
    <t>0.350279</t>
  </si>
  <si>
    <t>0.40022</t>
  </si>
  <si>
    <t>0.450163</t>
  </si>
  <si>
    <t>0.5</t>
  </si>
  <si>
    <t>H</t>
  </si>
  <si>
    <t>D</t>
  </si>
  <si>
    <t>N</t>
  </si>
  <si>
    <t>G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</si>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</sst>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6A6A6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2F2F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11" fontId="1" fillId="2" borderId="0" xfId="0" applyNumberFormat="1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90FD8-40FD-4D65-B12E-8160D6F2C51A}">
  <dimension ref="A1:I12"/>
  <sheetViews>
    <sheetView tabSelected="1" zoomScale="101" workbookViewId="0">
      <selection activeCell="D1" sqref="D1"/>
    </sheetView>
  </sheetViews>
  <sheetFormatPr defaultRowHeight="14.5" x14ac:dyDescent="0.35"/>
  <sheetData>
    <row r="1" spans="1:9" x14ac:dyDescent="0.35">
      <c r="A1" t="s">
        <v>0</v>
      </c>
      <c r="B1" t="s">
        <v>24</v>
      </c>
      <c r="C1" t="s">
        <v>25</v>
      </c>
      <c r="D1" t="s">
        <v>28</v>
      </c>
      <c r="E1" t="s">
        <v>26</v>
      </c>
      <c r="F1" t="s">
        <v>27</v>
      </c>
    </row>
    <row r="2" spans="1:9" x14ac:dyDescent="0.35">
      <c r="A2" s="7">
        <v>0</v>
      </c>
      <c r="B2" s="7">
        <v>0.26850000000000002</v>
      </c>
      <c r="C2" s="7">
        <v>0.30846000000000001</v>
      </c>
      <c r="D2" s="7">
        <v>0.29121999999999998</v>
      </c>
      <c r="E2" s="7">
        <v>9.6084000000000003E-2</v>
      </c>
      <c r="F2" s="7">
        <v>0</v>
      </c>
    </row>
    <row r="3" spans="1:9" x14ac:dyDescent="0.35">
      <c r="A3">
        <v>0.05</v>
      </c>
      <c r="B3" s="7">
        <v>0.277622329</v>
      </c>
      <c r="C3" s="7">
        <v>0.33580822900000001</v>
      </c>
      <c r="D3" s="7">
        <v>0.29261176</v>
      </c>
      <c r="E3" s="7">
        <v>9.5302418999999999E-2</v>
      </c>
      <c r="F3" s="7">
        <v>1.1515939999999999E-3</v>
      </c>
      <c r="I3" s="7"/>
    </row>
    <row r="4" spans="1:9" x14ac:dyDescent="0.35">
      <c r="A4" s="7">
        <v>0.10041899999999999</v>
      </c>
      <c r="B4" s="7">
        <v>0.245425592</v>
      </c>
      <c r="C4" s="7">
        <v>0.35129775600000002</v>
      </c>
      <c r="D4" s="7">
        <v>0.29613003100000002</v>
      </c>
      <c r="E4" s="7">
        <v>0.101204584</v>
      </c>
      <c r="F4" s="7">
        <v>4.7862010000000003E-3</v>
      </c>
      <c r="H4" s="7"/>
    </row>
    <row r="5" spans="1:9" x14ac:dyDescent="0.35">
      <c r="A5" s="7">
        <v>0.15018999999999999</v>
      </c>
      <c r="B5" s="7">
        <v>0.216691043</v>
      </c>
      <c r="C5" s="7">
        <v>0.356256291</v>
      </c>
      <c r="D5" s="7">
        <v>0.29994621199999999</v>
      </c>
      <c r="E5" s="7">
        <v>0.113283471</v>
      </c>
      <c r="F5" s="7">
        <v>1.2676751999999999E-2</v>
      </c>
      <c r="I5" s="7"/>
    </row>
    <row r="6" spans="1:9" x14ac:dyDescent="0.35">
      <c r="A6" s="7">
        <v>0.20011999999999999</v>
      </c>
      <c r="B6" s="7">
        <v>0.19157370900000001</v>
      </c>
      <c r="C6" s="7">
        <v>0.352420662</v>
      </c>
      <c r="D6" s="7">
        <v>0.304788646</v>
      </c>
      <c r="E6" s="7">
        <v>0.12693110399999999</v>
      </c>
      <c r="F6" s="7">
        <v>2.5176628999999999E-2</v>
      </c>
    </row>
    <row r="7" spans="1:9" x14ac:dyDescent="0.35">
      <c r="A7" s="7">
        <v>0.25005500000000003</v>
      </c>
      <c r="B7" s="7">
        <v>0.17134409</v>
      </c>
      <c r="C7" s="7">
        <v>0.342814962</v>
      </c>
      <c r="D7" s="7">
        <v>0.305672314</v>
      </c>
      <c r="E7" s="7">
        <v>0.14001712299999999</v>
      </c>
      <c r="F7" s="7">
        <v>4.0158781999999997E-2</v>
      </c>
    </row>
    <row r="8" spans="1:9" x14ac:dyDescent="0.35">
      <c r="A8" s="7">
        <v>0.30004199999999998</v>
      </c>
      <c r="B8" s="7">
        <v>0.15264591699999999</v>
      </c>
      <c r="C8" s="7">
        <v>0.32930753000000001</v>
      </c>
      <c r="D8" s="7">
        <v>0.30778716099999998</v>
      </c>
      <c r="E8" s="7">
        <v>0.153681858</v>
      </c>
      <c r="F8" s="7">
        <v>5.7623210000000001E-2</v>
      </c>
    </row>
    <row r="9" spans="1:9" x14ac:dyDescent="0.35">
      <c r="A9" s="7">
        <v>0.35027900000000001</v>
      </c>
      <c r="B9" s="7">
        <v>0.139172353</v>
      </c>
      <c r="C9" s="7">
        <v>0.31443728500000001</v>
      </c>
      <c r="D9" s="7">
        <v>0.30658006500000001</v>
      </c>
      <c r="E9" s="7">
        <v>0.164155097</v>
      </c>
      <c r="F9" s="7">
        <v>7.7215917999999995E-2</v>
      </c>
    </row>
    <row r="10" spans="1:9" x14ac:dyDescent="0.35">
      <c r="A10" s="7">
        <v>0.40022000000000002</v>
      </c>
      <c r="B10" s="7">
        <v>0.12711655799999999</v>
      </c>
      <c r="C10" s="7">
        <v>0.29954628900000002</v>
      </c>
      <c r="D10" s="7">
        <v>0.30460569900000001</v>
      </c>
      <c r="E10" s="7">
        <v>0.17292969999999999</v>
      </c>
      <c r="F10" s="7">
        <v>9.6808010999999999E-2</v>
      </c>
    </row>
    <row r="11" spans="1:9" x14ac:dyDescent="0.35">
      <c r="A11" s="7">
        <v>0.45016299999999998</v>
      </c>
      <c r="B11" s="7">
        <v>0.1168351047</v>
      </c>
      <c r="C11" s="7">
        <v>0.283741089</v>
      </c>
      <c r="D11" s="7">
        <v>0.30214554399999999</v>
      </c>
      <c r="E11" s="7">
        <v>0.18039696199999999</v>
      </c>
      <c r="F11" s="7">
        <v>0.118173158</v>
      </c>
    </row>
    <row r="12" spans="1:9" x14ac:dyDescent="0.35">
      <c r="A12" s="7">
        <v>0.5</v>
      </c>
      <c r="B12" s="7">
        <v>0.1080603897</v>
      </c>
      <c r="C12" s="7">
        <v>0.26961299999999999</v>
      </c>
      <c r="D12" s="7">
        <v>0.29912699999999998</v>
      </c>
      <c r="E12" s="7">
        <v>0.18651799999999999</v>
      </c>
      <c r="F12" s="7">
        <v>0.13918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266A7-45D0-4285-B370-AD690F9A2AD5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2A52F-668B-4CDF-84FB-09DB475829C9}">
  <dimension ref="A1:N12"/>
  <sheetViews>
    <sheetView zoomScale="90" workbookViewId="0">
      <selection activeCell="B2" sqref="B2:F12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0</v>
      </c>
      <c r="B2">
        <f xml:space="preserve"> G2 + H2</f>
        <v>0.26850000000000002</v>
      </c>
      <c r="C2">
        <f xml:space="preserve"> I2+J2</f>
        <v>0.30846000000000001</v>
      </c>
      <c r="D2">
        <f xml:space="preserve"> K2 + L2</f>
        <v>0.29121999999999998</v>
      </c>
      <c r="E2">
        <f xml:space="preserve"> M2+N2</f>
        <v>9.6084000000000003E-2</v>
      </c>
      <c r="F2">
        <v>0</v>
      </c>
      <c r="G2" s="1">
        <v>0.26850000000000002</v>
      </c>
      <c r="H2" s="3">
        <v>0</v>
      </c>
      <c r="I2" s="4">
        <v>0.30846000000000001</v>
      </c>
      <c r="J2" s="1">
        <v>0</v>
      </c>
      <c r="K2" s="5">
        <v>0.29121999999999998</v>
      </c>
      <c r="L2" s="4">
        <v>0</v>
      </c>
      <c r="M2" s="6">
        <v>9.6084000000000003E-2</v>
      </c>
      <c r="N2" s="5">
        <v>0</v>
      </c>
    </row>
    <row r="3" spans="1:14" x14ac:dyDescent="0.35">
      <c r="A3" t="s">
        <v>14</v>
      </c>
      <c r="B3">
        <f t="shared" ref="B3:B12" si="0" xml:space="preserve"> G3 + H3</f>
        <v>0.277622329</v>
      </c>
      <c r="C3">
        <f t="shared" ref="C3:C12" si="1" xml:space="preserve"> I3+J3</f>
        <v>0.33580822899999996</v>
      </c>
      <c r="D3">
        <f t="shared" ref="D3:D12" si="2" xml:space="preserve"> K3 + L3</f>
        <v>0.29261176</v>
      </c>
      <c r="E3">
        <f t="shared" ref="E3:E12" si="3" xml:space="preserve"> M3+N3</f>
        <v>9.5302418999999999E-2</v>
      </c>
      <c r="F3">
        <v>1.1515939999999999E-3</v>
      </c>
      <c r="G3" s="1">
        <v>0.114413599</v>
      </c>
      <c r="H3" s="3">
        <v>0.16320873</v>
      </c>
      <c r="I3" s="4">
        <v>0.23040105999999999</v>
      </c>
      <c r="J3" s="1">
        <v>0.105407169</v>
      </c>
      <c r="K3" s="5">
        <v>0.26841046400000002</v>
      </c>
      <c r="L3" s="4">
        <v>2.4201296000000001E-2</v>
      </c>
      <c r="M3" s="6">
        <v>8.7767831000000004E-2</v>
      </c>
      <c r="N3" s="5">
        <v>7.534588E-3</v>
      </c>
    </row>
    <row r="4" spans="1:14" x14ac:dyDescent="0.35">
      <c r="A4" t="s">
        <v>15</v>
      </c>
      <c r="B4">
        <f t="shared" si="0"/>
        <v>0.245425592</v>
      </c>
      <c r="C4">
        <f t="shared" si="1"/>
        <v>0.35129775600000002</v>
      </c>
      <c r="D4">
        <f t="shared" si="2"/>
        <v>0.29613003100000002</v>
      </c>
      <c r="E4">
        <f t="shared" si="3"/>
        <v>0.10120458400000001</v>
      </c>
      <c r="F4">
        <v>4.7862010000000003E-3</v>
      </c>
      <c r="G4" s="1">
        <v>4.4185006999999998E-2</v>
      </c>
      <c r="H4" s="3">
        <v>0.201240585</v>
      </c>
      <c r="I4" s="4">
        <v>0.15821321999999999</v>
      </c>
      <c r="J4" s="1">
        <v>0.193084536</v>
      </c>
      <c r="K4" s="5">
        <v>0.23070538300000001</v>
      </c>
      <c r="L4" s="4">
        <v>6.5424648000000002E-2</v>
      </c>
      <c r="M4" s="6">
        <v>7.5141120000000006E-2</v>
      </c>
      <c r="N4" s="5">
        <v>2.6063464000000001E-2</v>
      </c>
    </row>
    <row r="5" spans="1:14" x14ac:dyDescent="0.35">
      <c r="A5" t="s">
        <v>16</v>
      </c>
      <c r="B5">
        <f t="shared" si="0"/>
        <v>0.21669104300000003</v>
      </c>
      <c r="C5">
        <f t="shared" si="1"/>
        <v>0.356256291</v>
      </c>
      <c r="D5">
        <f t="shared" si="2"/>
        <v>0.29994621199999999</v>
      </c>
      <c r="E5">
        <f t="shared" si="3"/>
        <v>0.113283471</v>
      </c>
      <c r="F5">
        <v>1.2676751999999999E-2</v>
      </c>
      <c r="G5" s="1">
        <v>1.7844235E-2</v>
      </c>
      <c r="H5" s="3">
        <v>0.19884680800000001</v>
      </c>
      <c r="I5" s="4">
        <v>0.109537025</v>
      </c>
      <c r="J5" s="1">
        <v>0.24671926599999999</v>
      </c>
      <c r="K5" s="5">
        <v>0.19613509800000001</v>
      </c>
      <c r="L5" s="4">
        <v>0.103811114</v>
      </c>
      <c r="M5" s="6">
        <v>6.4081806000000005E-2</v>
      </c>
      <c r="N5" s="5">
        <v>4.9201664999999999E-2</v>
      </c>
    </row>
    <row r="6" spans="1:14" x14ac:dyDescent="0.35">
      <c r="A6" t="s">
        <v>17</v>
      </c>
      <c r="B6">
        <f t="shared" si="0"/>
        <v>0.19157370900000001</v>
      </c>
      <c r="C6">
        <f t="shared" si="1"/>
        <v>0.352420662</v>
      </c>
      <c r="D6">
        <f t="shared" si="2"/>
        <v>0.304788646</v>
      </c>
      <c r="E6">
        <f t="shared" si="3"/>
        <v>0.12693110400000002</v>
      </c>
      <c r="F6">
        <v>2.5176628999999999E-2</v>
      </c>
      <c r="G6" s="1">
        <v>7.1774450000000002E-3</v>
      </c>
      <c r="H6" s="3">
        <v>0.184396264</v>
      </c>
      <c r="I6" s="4">
        <v>7.6534810999999994E-2</v>
      </c>
      <c r="J6" s="1">
        <v>0.27588585100000002</v>
      </c>
      <c r="K6" s="5">
        <v>0.168619451</v>
      </c>
      <c r="L6" s="4">
        <v>0.13616919499999999</v>
      </c>
      <c r="M6" s="6">
        <v>5.4591238E-2</v>
      </c>
      <c r="N6" s="5">
        <v>7.2339866000000003E-2</v>
      </c>
    </row>
    <row r="7" spans="1:14" x14ac:dyDescent="0.35">
      <c r="A7" t="s">
        <v>18</v>
      </c>
      <c r="B7">
        <f t="shared" si="0"/>
        <v>0.17134409</v>
      </c>
      <c r="C7">
        <f t="shared" si="1"/>
        <v>0.342814962</v>
      </c>
      <c r="D7">
        <f t="shared" si="2"/>
        <v>0.305672314</v>
      </c>
      <c r="E7">
        <f t="shared" si="3"/>
        <v>0.14001712299999999</v>
      </c>
      <c r="F7">
        <v>4.0158781999999997E-2</v>
      </c>
      <c r="G7" s="1">
        <v>3.171423E-3</v>
      </c>
      <c r="H7" s="3">
        <v>0.168172667</v>
      </c>
      <c r="I7" s="4">
        <v>5.3720011999999998E-2</v>
      </c>
      <c r="J7" s="1">
        <v>0.28909495000000002</v>
      </c>
      <c r="K7" s="5">
        <v>0.14423725300000001</v>
      </c>
      <c r="L7" s="4">
        <v>0.16143506099999999</v>
      </c>
      <c r="M7" s="6">
        <v>4.6666721000000001E-2</v>
      </c>
      <c r="N7" s="5">
        <v>9.3350401999999999E-2</v>
      </c>
    </row>
    <row r="8" spans="1:14" x14ac:dyDescent="0.35">
      <c r="A8" t="s">
        <v>19</v>
      </c>
      <c r="B8">
        <f t="shared" si="0"/>
        <v>0.15264591700000002</v>
      </c>
      <c r="C8">
        <f t="shared" si="1"/>
        <v>0.32930752999999996</v>
      </c>
      <c r="D8">
        <f t="shared" si="2"/>
        <v>0.30778716100000003</v>
      </c>
      <c r="E8">
        <f t="shared" si="3"/>
        <v>0.153681858</v>
      </c>
      <c r="F8">
        <v>5.7623210000000001E-2</v>
      </c>
      <c r="G8" s="1">
        <v>3.4162299999999999E-4</v>
      </c>
      <c r="H8" s="3">
        <v>0.15230429400000001</v>
      </c>
      <c r="I8" s="4">
        <v>3.8351027000000003E-2</v>
      </c>
      <c r="J8" s="1">
        <v>0.29095650299999998</v>
      </c>
      <c r="K8" s="5">
        <v>0.12534094900000001</v>
      </c>
      <c r="L8" s="4">
        <v>0.182446212</v>
      </c>
      <c r="M8" s="6">
        <v>4.1093973999999998E-2</v>
      </c>
      <c r="N8" s="5">
        <v>0.112587884</v>
      </c>
    </row>
    <row r="9" spans="1:14" x14ac:dyDescent="0.35">
      <c r="A9" t="s">
        <v>20</v>
      </c>
      <c r="B9">
        <f t="shared" si="0"/>
        <v>0.139172353</v>
      </c>
      <c r="C9">
        <f t="shared" si="1"/>
        <v>0.31443728500000001</v>
      </c>
      <c r="D9">
        <f t="shared" si="2"/>
        <v>0.30658006500000001</v>
      </c>
      <c r="E9">
        <f t="shared" si="3"/>
        <v>0.16415509700000003</v>
      </c>
      <c r="F9">
        <v>7.7215917999999995E-2</v>
      </c>
      <c r="G9" s="1">
        <v>2.5476999999999997E-4</v>
      </c>
      <c r="H9" s="3">
        <v>0.13891758300000001</v>
      </c>
      <c r="I9" s="4">
        <v>2.7292387000000001E-2</v>
      </c>
      <c r="J9" s="1">
        <v>0.28714489799999998</v>
      </c>
      <c r="K9" s="5">
        <v>0.108797089</v>
      </c>
      <c r="L9" s="4">
        <v>0.197782976</v>
      </c>
      <c r="M9" s="6">
        <v>3.5521227000000002E-2</v>
      </c>
      <c r="N9" s="5">
        <v>0.12863387000000001</v>
      </c>
    </row>
    <row r="10" spans="1:14" x14ac:dyDescent="0.35">
      <c r="A10" t="s">
        <v>21</v>
      </c>
      <c r="B10">
        <f t="shared" si="0"/>
        <v>0.12711655800000002</v>
      </c>
      <c r="C10">
        <f t="shared" si="1"/>
        <v>0.29954628900000002</v>
      </c>
      <c r="D10">
        <f t="shared" si="2"/>
        <v>0.30460569900000001</v>
      </c>
      <c r="E10">
        <f t="shared" si="3"/>
        <v>0.17292969999999999</v>
      </c>
      <c r="F10">
        <v>9.6808010999999999E-2</v>
      </c>
      <c r="G10" s="1">
        <v>1.67243E-4</v>
      </c>
      <c r="H10" s="3">
        <v>0.12694931500000001</v>
      </c>
      <c r="I10" s="4">
        <v>1.9759718999999999E-2</v>
      </c>
      <c r="J10" s="1">
        <v>0.27978657000000001</v>
      </c>
      <c r="K10" s="5">
        <v>9.5386679000000002E-2</v>
      </c>
      <c r="L10" s="4">
        <v>0.20921902000000001</v>
      </c>
      <c r="M10" s="6">
        <v>3.0731505999999999E-2</v>
      </c>
      <c r="N10" s="5">
        <v>0.142198194</v>
      </c>
    </row>
    <row r="11" spans="1:14" x14ac:dyDescent="0.35">
      <c r="A11" t="s">
        <v>22</v>
      </c>
      <c r="B11">
        <f t="shared" si="0"/>
        <v>0.1168351047</v>
      </c>
      <c r="C11">
        <f t="shared" si="1"/>
        <v>0.283741089</v>
      </c>
      <c r="D11">
        <f t="shared" si="2"/>
        <v>0.30214554399999999</v>
      </c>
      <c r="E11">
        <f t="shared" si="3"/>
        <v>0.18039696199999999</v>
      </c>
      <c r="F11">
        <v>0.118173158</v>
      </c>
      <c r="G11" s="2">
        <v>8.03897E-5</v>
      </c>
      <c r="H11" s="3">
        <v>0.116754715</v>
      </c>
      <c r="I11" s="4">
        <v>1.3795122999999999E-2</v>
      </c>
      <c r="J11" s="1">
        <v>0.26994596599999998</v>
      </c>
      <c r="K11" s="5">
        <v>8.4327365000000001E-2</v>
      </c>
      <c r="L11" s="4">
        <v>0.217818179</v>
      </c>
      <c r="M11" s="6">
        <v>2.7117334E-2</v>
      </c>
      <c r="N11" s="5">
        <v>0.153279628</v>
      </c>
    </row>
    <row r="12" spans="1:14" x14ac:dyDescent="0.35">
      <c r="A12" t="s">
        <v>23</v>
      </c>
      <c r="B12">
        <f t="shared" si="0"/>
        <v>0.10806038970000001</v>
      </c>
      <c r="C12">
        <f t="shared" si="1"/>
        <v>0.26961299999999999</v>
      </c>
      <c r="D12">
        <f t="shared" si="2"/>
        <v>0.29912699999999998</v>
      </c>
      <c r="E12">
        <f t="shared" si="3"/>
        <v>0.18651800000000002</v>
      </c>
      <c r="F12">
        <v>0.13918</v>
      </c>
      <c r="G12" s="2">
        <v>8.03897E-5</v>
      </c>
      <c r="H12" s="3">
        <v>0.10798000000000001</v>
      </c>
      <c r="I12" s="4">
        <v>1.0573000000000001E-2</v>
      </c>
      <c r="J12" s="1">
        <v>0.25903999999999999</v>
      </c>
      <c r="K12" s="5">
        <v>7.4837000000000001E-2</v>
      </c>
      <c r="L12" s="4">
        <v>0.22428999999999999</v>
      </c>
      <c r="M12" s="6">
        <v>2.4288000000000001E-2</v>
      </c>
      <c r="N12" s="5">
        <v>0.16223000000000001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Planilha2</vt:lpstr>
      <vt:lpstr>dadosartigo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Giulia Sales Ferreira</dc:creator>
  <cp:keywords/>
  <dc:description/>
  <cp:lastModifiedBy>Giulia Sales Ferreira</cp:lastModifiedBy>
  <cp:revision/>
  <dcterms:created xsi:type="dcterms:W3CDTF">2026-04-17T17:20:19Z</dcterms:created>
  <dcterms:modified xsi:type="dcterms:W3CDTF">2026-06-08T13:38:28Z</dcterms:modified>
  <cp:category/>
  <cp:contentStatus/>
</cp:coreProperties>
</file>